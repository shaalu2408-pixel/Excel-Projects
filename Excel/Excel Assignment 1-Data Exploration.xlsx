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al\Downloads\Entri Assignments\"/>
    </mc:Choice>
  </mc:AlternateContent>
  <xr:revisionPtr revIDLastSave="0" documentId="8_{8ED4FC49-9F07-4B03-A041-CBAF61B97329}" xr6:coauthVersionLast="47" xr6:coauthVersionMax="47" xr10:uidLastSave="{00000000-0000-0000-0000-000000000000}"/>
  <bookViews>
    <workbookView xWindow="-108" yWindow="-108" windowWidth="23256" windowHeight="12456" xr2:uid="{129BB0FB-0069-4670-A519-B93826A5B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1" l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E73" i="1"/>
  <c r="E6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E59" i="1"/>
  <c r="E54" i="1"/>
  <c r="E49" i="1"/>
  <c r="E45" i="1"/>
  <c r="E41" i="1"/>
</calcChain>
</file>

<file path=xl/sharedStrings.xml><?xml version="1.0" encoding="utf-8"?>
<sst xmlns="http://schemas.openxmlformats.org/spreadsheetml/2006/main" count="162" uniqueCount="113">
  <si>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</si>
  <si>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</si>
  <si>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</si>
  <si>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</si>
  <si>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</si>
  <si>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</si>
  <si>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</si>
  <si>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</si>
  <si>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</si>
  <si>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</si>
  <si>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</si>
  <si>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</si>
  <si>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</si>
  <si>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</si>
  <si>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</si>
  <si>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</si>
  <si>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</si>
  <si>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</si>
  <si>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</si>
  <si>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</si>
  <si>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</si>
  <si>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</si>
  <si>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</si>
  <si>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</si>
  <si>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</si>
  <si>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</si>
  <si>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</si>
  <si>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</si>
  <si>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</si>
  <si>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</si>
  <si>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</si>
  <si>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</si>
  <si>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</si>
  <si>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</si>
  <si>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</si>
  <si>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</si>
  <si>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</si>
  <si>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</si>
  <si>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</si>
  <si>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</si>
  <si>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</si>
  <si>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</si>
  <si>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</si>
  <si>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</si>
  <si>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</si>
  <si>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</si>
  <si>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</si>
  <si>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</si>
  <si>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</si>
  <si>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</si>
  <si>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</si>
  <si>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</si>
  <si>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</si>
  <si>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</si>
  <si>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</si>
  <si>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</si>
  <si>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</si>
  <si>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</si>
  <si>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</si>
  <si>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</si>
  <si>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</si>
  <si>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</si>
  <si>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</si>
  <si>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</si>
  <si>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</si>
  <si>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</si>
  <si>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</si>
  <si>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</si>
  <si>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</si>
  <si>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</si>
  <si>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</si>
  <si>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</si>
  <si>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</si>
  <si>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</si>
  <si>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</si>
  <si>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</si>
  <si>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</si>
  <si>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</si>
  <si>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</si>
  <si>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</si>
  <si>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</si>
  <si>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</si>
  <si>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</si>
  <si>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</si>
  <si>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</si>
  <si>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</si>
  <si>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</si>
  <si>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</si>
  <si>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</si>
  <si>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</si>
  <si>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</si>
  <si>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</si>
  <si>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</si>
  <si>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</si>
  <si>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</si>
  <si>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</si>
  <si>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</si>
  <si>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</si>
  <si>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</si>
  <si>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</si>
  <si>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</si>
  <si>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</si>
  <si>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Price Range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</si>
  <si>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</si>
  <si>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</si>
  <si>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</si>
  <si>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</si>
  <si>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</si>
  <si>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</si>
  <si>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</si>
  <si>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Day</t>
  </si>
  <si>
    <t>Country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</si>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</sst>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7016AD-74E0-4117-9FB6-57EA02DAF788}" name="Table1" displayName="Table1" ref="A1:J35" totalsRowShown="0">
  <autoFilter ref="A1:J35" xr:uid="{3B7016AD-74E0-4117-9FB6-57EA02DAF788}"/>
  <tableColumns count="10">
    <tableColumn id="1" xr3:uid="{391BF520-5EAE-4BB7-8C33-5206BB492F9B}" name="Product ID"/>
    <tableColumn id="2" xr3:uid="{04DB81C7-83BD-4044-8992-2C01FC96E7D0}" name="Product Name"/>
    <tableColumn id="3" xr3:uid="{0C7B5EB7-E3F4-4561-8CC0-D544B853818B}" name="Brand Name"/>
    <tableColumn id="4" xr3:uid="{CB979E40-92B5-42E9-8861-ADB4110168BC}" name="Price ($)"/>
    <tableColumn id="5" xr3:uid="{67E140F6-77BC-4E68-9178-A559DAE19040}" name="Quantity"/>
    <tableColumn id="6" xr3:uid="{32D73CFB-DE18-4F34-B27C-21C261003BF7}" name="Category"/>
    <tableColumn id="7" xr3:uid="{A2AB8CC2-18F4-44BA-827D-977293EC5342}" name="Price Range" dataDxfId="3">
      <calculatedColumnFormula>IF(D2&gt;=500,"High Price","Standrad Price")</calculatedColumnFormula>
    </tableColumn>
    <tableColumn id="8" xr3:uid="{5E364E3E-B18A-408D-B0B2-2C49E20895A4}" name="Day" dataDxfId="2">
      <calculatedColumnFormula>LEFT(A2,2)</calculatedColumnFormula>
    </tableColumn>
    <tableColumn id="9" xr3:uid="{153CE8BD-9509-4788-900D-3DA8D9679829}" name="Country" dataDxfId="1">
      <calculatedColumnFormula>RIGHT(A2,2)</calculatedColumnFormula>
    </tableColumn>
    <tableColumn id="10" xr3:uid="{F4749713-1C52-4D3E-8DC6-7F5135D83937}" name="month" dataDxfId="0">
      <calculatedColumnFormula>MID(A2,4,3)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2E4B-EFB9-4AA4-A8B3-219CA9B0A449}">
  <dimension ref="A1:J79"/>
  <sheetViews>
    <sheetView tabSelected="1" workbookViewId="0">
      <selection activeCell="D14" sqref="D14"/>
    </sheetView>
  </sheetViews>
  <sheetFormatPr defaultRowHeight="14.4" x14ac:dyDescent="0.3"/>
  <cols>
    <col min="1" max="1" width="13.77734375" customWidth="1"/>
    <col min="2" max="2" width="16.77734375" customWidth="1"/>
    <col min="3" max="3" width="13" customWidth="1"/>
    <col min="4" max="4" width="9.44140625" customWidth="1"/>
    <col min="5" max="5" width="9.88671875" customWidth="1"/>
    <col min="6" max="6" width="11" customWidth="1"/>
    <col min="7" max="7" width="16.77734375" customWidth="1"/>
    <col min="8" max="8" width="13.33203125" customWidth="1"/>
    <col min="9" max="9" width="14.44140625" customWidth="1"/>
    <col min="10" max="10" width="12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102</v>
      </c>
      <c r="H1" t="s">
        <v>110</v>
      </c>
      <c r="I1" t="s">
        <v>111</v>
      </c>
      <c r="J1" t="s">
        <v>112</v>
      </c>
    </row>
    <row r="2" spans="1:10" x14ac:dyDescent="0.3">
      <c r="A2" t="s">
        <v>6</v>
      </c>
      <c r="B2" t="s">
        <v>7</v>
      </c>
      <c r="C2" t="s">
        <v>8</v>
      </c>
      <c r="D2">
        <v>1000</v>
      </c>
      <c r="E2">
        <v>30</v>
      </c>
      <c r="F2" t="s">
        <v>9</v>
      </c>
      <c r="G2" t="str">
        <f t="shared" ref="G2:G35" si="0">IF(D2&gt;=500,"High Price","Standrad Price")</f>
        <v>High Price</v>
      </c>
      <c r="H2" t="str">
        <f t="shared" ref="H2:H35" si="1">LEFT(A2,2)</f>
        <v>28</v>
      </c>
      <c r="I2" t="str">
        <f t="shared" ref="I2:I35" si="2">RIGHT(A2,2)</f>
        <v>US</v>
      </c>
      <c r="J2" t="str">
        <f t="shared" ref="J2:J35" si="3">MID(A2,4,3)</f>
        <v>JAN</v>
      </c>
    </row>
    <row r="3" spans="1:10" x14ac:dyDescent="0.3">
      <c r="A3" t="s">
        <v>10</v>
      </c>
      <c r="B3" t="s">
        <v>11</v>
      </c>
      <c r="C3" t="s">
        <v>12</v>
      </c>
      <c r="D3">
        <v>80</v>
      </c>
      <c r="E3">
        <v>15</v>
      </c>
      <c r="F3" t="s">
        <v>13</v>
      </c>
      <c r="G3" t="str">
        <f t="shared" si="0"/>
        <v>Standrad Price</v>
      </c>
      <c r="H3" t="str">
        <f t="shared" si="1"/>
        <v>15</v>
      </c>
      <c r="I3" t="str">
        <f t="shared" si="2"/>
        <v>US</v>
      </c>
      <c r="J3" t="str">
        <f t="shared" si="3"/>
        <v>FEB</v>
      </c>
    </row>
    <row r="4" spans="1:10" x14ac:dyDescent="0.3">
      <c r="A4" t="s">
        <v>14</v>
      </c>
      <c r="B4" t="s">
        <v>15</v>
      </c>
      <c r="C4" t="s">
        <v>16</v>
      </c>
      <c r="D4">
        <v>130</v>
      </c>
      <c r="E4">
        <v>40</v>
      </c>
      <c r="F4" t="s">
        <v>17</v>
      </c>
      <c r="G4" t="str">
        <f t="shared" si="0"/>
        <v>Standrad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x14ac:dyDescent="0.3">
      <c r="A5" t="s">
        <v>18</v>
      </c>
      <c r="B5" t="s">
        <v>19</v>
      </c>
      <c r="C5" t="s">
        <v>20</v>
      </c>
      <c r="D5">
        <v>900</v>
      </c>
      <c r="E5">
        <v>25</v>
      </c>
      <c r="F5" t="s">
        <v>9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x14ac:dyDescent="0.3">
      <c r="A6" t="s">
        <v>21</v>
      </c>
      <c r="B6" t="s">
        <v>22</v>
      </c>
      <c r="C6" t="s">
        <v>23</v>
      </c>
      <c r="D6">
        <v>70</v>
      </c>
      <c r="E6">
        <v>20</v>
      </c>
      <c r="F6" t="s">
        <v>24</v>
      </c>
      <c r="G6" t="str">
        <f t="shared" si="0"/>
        <v>Standrad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x14ac:dyDescent="0.3">
      <c r="A7" t="s">
        <v>25</v>
      </c>
      <c r="B7" t="s">
        <v>26</v>
      </c>
      <c r="C7" t="s">
        <v>27</v>
      </c>
      <c r="D7">
        <v>200</v>
      </c>
      <c r="E7">
        <v>45</v>
      </c>
      <c r="F7" t="s">
        <v>9</v>
      </c>
      <c r="G7" t="str">
        <f t="shared" si="0"/>
        <v>Standrad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x14ac:dyDescent="0.3">
      <c r="A8" t="s">
        <v>28</v>
      </c>
      <c r="B8" t="s">
        <v>29</v>
      </c>
      <c r="C8" t="s">
        <v>30</v>
      </c>
      <c r="D8">
        <v>30</v>
      </c>
      <c r="E8">
        <v>5</v>
      </c>
      <c r="F8" t="s">
        <v>13</v>
      </c>
      <c r="G8" t="str">
        <f t="shared" si="0"/>
        <v>Standrad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x14ac:dyDescent="0.3">
      <c r="A9" t="s">
        <v>31</v>
      </c>
      <c r="B9" t="s">
        <v>32</v>
      </c>
      <c r="C9" t="s">
        <v>33</v>
      </c>
      <c r="D9">
        <v>90</v>
      </c>
      <c r="E9">
        <v>35</v>
      </c>
      <c r="F9" t="s">
        <v>17</v>
      </c>
      <c r="G9" t="str">
        <f t="shared" si="0"/>
        <v>Standrad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x14ac:dyDescent="0.3">
      <c r="A10" t="s">
        <v>34</v>
      </c>
      <c r="B10" t="s">
        <v>35</v>
      </c>
      <c r="C10" t="s">
        <v>36</v>
      </c>
      <c r="D10">
        <v>500</v>
      </c>
      <c r="E10">
        <v>50</v>
      </c>
      <c r="F10" t="s">
        <v>9</v>
      </c>
      <c r="G10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x14ac:dyDescent="0.3">
      <c r="A11" t="s">
        <v>37</v>
      </c>
      <c r="B11" t="s">
        <v>38</v>
      </c>
      <c r="C11" t="s">
        <v>39</v>
      </c>
      <c r="D11">
        <v>130</v>
      </c>
      <c r="E11">
        <v>10</v>
      </c>
      <c r="F11" t="s">
        <v>24</v>
      </c>
      <c r="G11" t="str">
        <f t="shared" si="0"/>
        <v>Standrad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x14ac:dyDescent="0.3">
      <c r="A12" t="s">
        <v>40</v>
      </c>
      <c r="B12" t="s">
        <v>7</v>
      </c>
      <c r="C12" t="s">
        <v>41</v>
      </c>
      <c r="D12">
        <v>950</v>
      </c>
      <c r="E12">
        <v>25</v>
      </c>
      <c r="F12" t="s">
        <v>9</v>
      </c>
      <c r="G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x14ac:dyDescent="0.3">
      <c r="A13" t="s">
        <v>42</v>
      </c>
      <c r="B13" t="s">
        <v>11</v>
      </c>
      <c r="C13" t="s">
        <v>30</v>
      </c>
      <c r="D13">
        <v>90</v>
      </c>
      <c r="E13">
        <v>40</v>
      </c>
      <c r="F13" t="s">
        <v>13</v>
      </c>
      <c r="G13" t="str">
        <f t="shared" si="0"/>
        <v>Standrad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x14ac:dyDescent="0.3">
      <c r="A14" t="s">
        <v>43</v>
      </c>
      <c r="B14" t="s">
        <v>15</v>
      </c>
      <c r="C14" t="s">
        <v>44</v>
      </c>
      <c r="D14">
        <v>120</v>
      </c>
      <c r="E14">
        <v>35</v>
      </c>
      <c r="F14" t="s">
        <v>17</v>
      </c>
      <c r="G14" t="str">
        <f t="shared" si="0"/>
        <v>Standrad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x14ac:dyDescent="0.3">
      <c r="A15" t="s">
        <v>45</v>
      </c>
      <c r="B15" t="s">
        <v>46</v>
      </c>
      <c r="C15" t="s">
        <v>47</v>
      </c>
      <c r="D15">
        <v>150</v>
      </c>
      <c r="E15">
        <v>15</v>
      </c>
      <c r="F15" t="s">
        <v>9</v>
      </c>
      <c r="G15" t="str">
        <f t="shared" si="0"/>
        <v>Standrad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x14ac:dyDescent="0.3">
      <c r="A16" t="s">
        <v>48</v>
      </c>
      <c r="B16" t="s">
        <v>26</v>
      </c>
      <c r="C16" t="s">
        <v>49</v>
      </c>
      <c r="D16">
        <v>250</v>
      </c>
      <c r="E16">
        <v>20</v>
      </c>
      <c r="F16" t="s">
        <v>9</v>
      </c>
      <c r="G16" t="str">
        <f t="shared" si="0"/>
        <v>Standrad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x14ac:dyDescent="0.3">
      <c r="A17" t="s">
        <v>50</v>
      </c>
      <c r="B17" t="s">
        <v>51</v>
      </c>
      <c r="C17" t="s">
        <v>52</v>
      </c>
      <c r="D17">
        <v>50</v>
      </c>
      <c r="E17">
        <v>35</v>
      </c>
      <c r="F17" t="s">
        <v>53</v>
      </c>
      <c r="G17" t="str">
        <f t="shared" si="0"/>
        <v>Standrad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x14ac:dyDescent="0.3">
      <c r="A18" t="s">
        <v>54</v>
      </c>
      <c r="B18" t="s">
        <v>46</v>
      </c>
      <c r="C18" t="s">
        <v>55</v>
      </c>
      <c r="D18">
        <v>160</v>
      </c>
      <c r="E18">
        <v>15</v>
      </c>
      <c r="F18" t="s">
        <v>9</v>
      </c>
      <c r="G18" t="str">
        <f t="shared" si="0"/>
        <v>Standrad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x14ac:dyDescent="0.3">
      <c r="A19" t="s">
        <v>56</v>
      </c>
      <c r="B19" t="s">
        <v>7</v>
      </c>
      <c r="C19" t="s">
        <v>57</v>
      </c>
      <c r="D19">
        <v>980</v>
      </c>
      <c r="E19">
        <v>10</v>
      </c>
      <c r="F19" t="s">
        <v>9</v>
      </c>
      <c r="G19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x14ac:dyDescent="0.3">
      <c r="A20" t="s">
        <v>58</v>
      </c>
      <c r="B20" t="s">
        <v>59</v>
      </c>
      <c r="C20" t="s">
        <v>60</v>
      </c>
      <c r="D20">
        <v>150</v>
      </c>
      <c r="E20">
        <v>15</v>
      </c>
      <c r="F20" t="s">
        <v>13</v>
      </c>
      <c r="G20" t="str">
        <f t="shared" si="0"/>
        <v>Standrad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x14ac:dyDescent="0.3">
      <c r="A21" t="s">
        <v>61</v>
      </c>
      <c r="B21" t="s">
        <v>62</v>
      </c>
      <c r="C21" t="s">
        <v>63</v>
      </c>
      <c r="D21">
        <v>200</v>
      </c>
      <c r="E21">
        <v>10</v>
      </c>
      <c r="F21" t="s">
        <v>24</v>
      </c>
      <c r="G21" t="str">
        <f t="shared" si="0"/>
        <v>Standrad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x14ac:dyDescent="0.3">
      <c r="A22" t="s">
        <v>64</v>
      </c>
      <c r="B22" t="s">
        <v>65</v>
      </c>
      <c r="C22" t="s">
        <v>66</v>
      </c>
      <c r="D22">
        <v>700</v>
      </c>
      <c r="E22">
        <v>50</v>
      </c>
      <c r="F22" t="s">
        <v>9</v>
      </c>
      <c r="G2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x14ac:dyDescent="0.3">
      <c r="A23" t="s">
        <v>67</v>
      </c>
      <c r="B23" t="s">
        <v>68</v>
      </c>
      <c r="C23" t="s">
        <v>69</v>
      </c>
      <c r="D23">
        <v>80</v>
      </c>
      <c r="E23">
        <v>20</v>
      </c>
      <c r="F23" t="s">
        <v>17</v>
      </c>
      <c r="G23" t="str">
        <f t="shared" si="0"/>
        <v>Standrad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x14ac:dyDescent="0.3">
      <c r="A24" t="s">
        <v>70</v>
      </c>
      <c r="B24" t="s">
        <v>71</v>
      </c>
      <c r="C24" t="s">
        <v>72</v>
      </c>
      <c r="D24">
        <v>150</v>
      </c>
      <c r="E24">
        <v>30</v>
      </c>
      <c r="F24" t="s">
        <v>9</v>
      </c>
      <c r="G24" t="str">
        <f t="shared" si="0"/>
        <v>Standrad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x14ac:dyDescent="0.3">
      <c r="A25" t="s">
        <v>50</v>
      </c>
      <c r="B25" t="s">
        <v>51</v>
      </c>
      <c r="C25" t="s">
        <v>52</v>
      </c>
      <c r="D25">
        <v>50</v>
      </c>
      <c r="E25">
        <v>35</v>
      </c>
      <c r="F25" t="s">
        <v>53</v>
      </c>
      <c r="G25" t="str">
        <f t="shared" si="0"/>
        <v>Standrad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x14ac:dyDescent="0.3">
      <c r="A26" t="s">
        <v>73</v>
      </c>
      <c r="B26" t="s">
        <v>19</v>
      </c>
      <c r="C26" t="s">
        <v>74</v>
      </c>
      <c r="D26">
        <v>800</v>
      </c>
      <c r="E26">
        <v>45</v>
      </c>
      <c r="F26" t="s">
        <v>9</v>
      </c>
      <c r="G2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x14ac:dyDescent="0.3">
      <c r="A27" t="s">
        <v>75</v>
      </c>
      <c r="B27" t="s">
        <v>59</v>
      </c>
      <c r="C27" t="s">
        <v>76</v>
      </c>
      <c r="D27">
        <v>130</v>
      </c>
      <c r="E27">
        <v>25</v>
      </c>
      <c r="F27" t="s">
        <v>13</v>
      </c>
      <c r="G27" t="str">
        <f t="shared" si="0"/>
        <v>Standrad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x14ac:dyDescent="0.3">
      <c r="A28" t="s">
        <v>77</v>
      </c>
      <c r="B28" t="s">
        <v>32</v>
      </c>
      <c r="C28" t="s">
        <v>78</v>
      </c>
      <c r="D28">
        <v>400</v>
      </c>
      <c r="E28">
        <v>40</v>
      </c>
      <c r="F28" t="s">
        <v>17</v>
      </c>
      <c r="G28" t="str">
        <f t="shared" si="0"/>
        <v>Standrad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x14ac:dyDescent="0.3">
      <c r="A29" t="s">
        <v>48</v>
      </c>
      <c r="B29" t="s">
        <v>26</v>
      </c>
      <c r="C29" t="s">
        <v>49</v>
      </c>
      <c r="D29">
        <v>230</v>
      </c>
      <c r="E29">
        <v>20</v>
      </c>
      <c r="F29" t="s">
        <v>9</v>
      </c>
      <c r="G29" t="str">
        <f t="shared" si="0"/>
        <v>Standrad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x14ac:dyDescent="0.3">
      <c r="A30" t="s">
        <v>79</v>
      </c>
      <c r="B30" t="s">
        <v>80</v>
      </c>
      <c r="C30" t="s">
        <v>81</v>
      </c>
      <c r="D30">
        <v>60</v>
      </c>
      <c r="E30">
        <v>30</v>
      </c>
      <c r="F30" t="s">
        <v>13</v>
      </c>
      <c r="G30" t="str">
        <f t="shared" si="0"/>
        <v>Standrad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x14ac:dyDescent="0.3">
      <c r="A31" t="s">
        <v>82</v>
      </c>
      <c r="B31" t="s">
        <v>83</v>
      </c>
      <c r="C31" t="s">
        <v>84</v>
      </c>
      <c r="D31">
        <v>40</v>
      </c>
      <c r="E31">
        <v>10</v>
      </c>
      <c r="F31" t="s">
        <v>17</v>
      </c>
      <c r="G31" t="str">
        <f t="shared" si="0"/>
        <v>Standrad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x14ac:dyDescent="0.3">
      <c r="A32" t="s">
        <v>85</v>
      </c>
      <c r="B32" t="s">
        <v>71</v>
      </c>
      <c r="C32" t="s">
        <v>86</v>
      </c>
      <c r="D32">
        <v>130</v>
      </c>
      <c r="E32">
        <v>5</v>
      </c>
      <c r="F32" t="s">
        <v>9</v>
      </c>
      <c r="G32" t="str">
        <f t="shared" si="0"/>
        <v>Standrad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x14ac:dyDescent="0.3">
      <c r="A33" t="s">
        <v>87</v>
      </c>
      <c r="B33" t="s">
        <v>88</v>
      </c>
      <c r="C33" t="s">
        <v>89</v>
      </c>
      <c r="D33">
        <v>50</v>
      </c>
      <c r="E33">
        <v>50</v>
      </c>
      <c r="F33" t="s">
        <v>13</v>
      </c>
      <c r="G33" t="str">
        <f t="shared" si="0"/>
        <v>Standrad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x14ac:dyDescent="0.3">
      <c r="A34" t="s">
        <v>40</v>
      </c>
      <c r="B34" t="s">
        <v>7</v>
      </c>
      <c r="C34" t="s">
        <v>41</v>
      </c>
      <c r="D34">
        <v>950</v>
      </c>
      <c r="E34">
        <v>25</v>
      </c>
      <c r="F34" t="s">
        <v>9</v>
      </c>
      <c r="G3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x14ac:dyDescent="0.3">
      <c r="A35" t="s">
        <v>90</v>
      </c>
      <c r="B35" t="s">
        <v>91</v>
      </c>
      <c r="C35" t="s">
        <v>92</v>
      </c>
      <c r="D35">
        <v>100</v>
      </c>
      <c r="E35">
        <v>20</v>
      </c>
      <c r="F35" t="s">
        <v>53</v>
      </c>
      <c r="G35" t="str">
        <f t="shared" si="0"/>
        <v>Standrad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8" spans="1:10" x14ac:dyDescent="0.3">
      <c r="A38" t="s">
        <v>93</v>
      </c>
    </row>
    <row r="39" spans="1:10" x14ac:dyDescent="0.3">
      <c r="B39" t="s">
        <v>94</v>
      </c>
    </row>
    <row r="41" spans="1:10" x14ac:dyDescent="0.3">
      <c r="E41">
        <f>SUM(D2:D35)</f>
        <v>10100</v>
      </c>
    </row>
    <row r="43" spans="1:10" x14ac:dyDescent="0.3">
      <c r="B43" t="s">
        <v>95</v>
      </c>
    </row>
    <row r="45" spans="1:10" x14ac:dyDescent="0.3">
      <c r="E45">
        <f>COUNT(D2:D35)</f>
        <v>34</v>
      </c>
    </row>
    <row r="47" spans="1:10" x14ac:dyDescent="0.3">
      <c r="B47" t="s">
        <v>96</v>
      </c>
    </row>
    <row r="49" spans="1:5" x14ac:dyDescent="0.3">
      <c r="E49">
        <f>AVERAGE(D2:D35)</f>
        <v>297.05882352941177</v>
      </c>
    </row>
    <row r="51" spans="1:5" x14ac:dyDescent="0.3">
      <c r="A51" t="s">
        <v>97</v>
      </c>
    </row>
    <row r="52" spans="1:5" x14ac:dyDescent="0.3">
      <c r="B52" t="s">
        <v>98</v>
      </c>
    </row>
    <row r="54" spans="1:5" x14ac:dyDescent="0.3">
      <c r="E54">
        <f>MIN(D2:D35)</f>
        <v>30</v>
      </c>
    </row>
    <row r="57" spans="1:5" x14ac:dyDescent="0.3">
      <c r="B57" t="s">
        <v>99</v>
      </c>
    </row>
    <row r="59" spans="1:5" x14ac:dyDescent="0.3">
      <c r="E59">
        <f>MAX(D2:D35)</f>
        <v>1000</v>
      </c>
    </row>
    <row r="63" spans="1:5" x14ac:dyDescent="0.3">
      <c r="A63" t="s">
        <v>100</v>
      </c>
    </row>
    <row r="64" spans="1:5" x14ac:dyDescent="0.3">
      <c r="B64" t="s">
        <v>101</v>
      </c>
    </row>
    <row r="66" spans="1:5" x14ac:dyDescent="0.3">
      <c r="A66" t="s">
        <v>103</v>
      </c>
    </row>
    <row r="67" spans="1:5" x14ac:dyDescent="0.3">
      <c r="B67" t="s">
        <v>104</v>
      </c>
    </row>
    <row r="69" spans="1:5" x14ac:dyDescent="0.3">
      <c r="E69">
        <f>SUMIF(F2:F35,"Electronics",D2:D35)</f>
        <v>8050</v>
      </c>
    </row>
    <row r="71" spans="1:5" x14ac:dyDescent="0.3">
      <c r="B71" t="s">
        <v>105</v>
      </c>
    </row>
    <row r="73" spans="1:5" x14ac:dyDescent="0.3">
      <c r="E73">
        <f>COUNTIF(D2:D35,"&lt;100")</f>
        <v>11</v>
      </c>
    </row>
    <row r="76" spans="1:5" x14ac:dyDescent="0.3">
      <c r="A76" t="s">
        <v>106</v>
      </c>
    </row>
    <row r="77" spans="1:5" x14ac:dyDescent="0.3">
      <c r="B77" t="s">
        <v>107</v>
      </c>
    </row>
    <row r="78" spans="1:5" x14ac:dyDescent="0.3">
      <c r="B78" t="s">
        <v>108</v>
      </c>
    </row>
    <row r="79" spans="1:5" x14ac:dyDescent="0.3">
      <c r="B79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shaalu2408@gmail.com</dc:creator>
  <cp:lastModifiedBy>shaalu2408@gmail.com</cp:lastModifiedBy>
  <dcterms:created xsi:type="dcterms:W3CDTF">2025-07-04T07:17:28Z</dcterms:created>
  <dcterms:modified xsi:type="dcterms:W3CDTF">2025-07-06T02:41:48Z</dcterms:modified>
</cp:coreProperties>
</file>