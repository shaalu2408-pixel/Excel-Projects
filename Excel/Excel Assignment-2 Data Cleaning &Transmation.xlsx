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al\Downloads\Entri Assignments\"/>
    </mc:Choice>
  </mc:AlternateContent>
  <xr:revisionPtr revIDLastSave="0" documentId="13_ncr:1_{F1C97FA3-C284-4D89-A07C-A6C9F8FCD8FF}" xr6:coauthVersionLast="47" xr6:coauthVersionMax="47" xr10:uidLastSave="{00000000-0000-0000-0000-000000000000}"/>
  <bookViews>
    <workbookView xWindow="-108" yWindow="-108" windowWidth="23256" windowHeight="12456" xr2:uid="{97746073-6790-4237-B20D-C1A868332D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G2" i="1" l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</calcChain>
</file>

<file path=xl/sharedStrings.xml><?xml version="1.0" encoding="utf-8"?>
<sst xmlns="http://schemas.openxmlformats.org/spreadsheetml/2006/main" count="198" uniqueCount="146">
  <si>
    <t>Product ID</t>
  </si>
  <si>
    <t>Product Name</t>
  </si>
  <si>
    <t>Brand Name</t>
  </si>
  <si>
    <t>Price ($)</t>
  </si>
  <si>
    <t>Quantity</t>
  </si>
  <si>
    <t>Category</t>
  </si>
  <si>
    <t>28-JAN-US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</si>
  <si>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</si>
  <si>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</si>
  <si>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</si>
  <si>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</si>
  <si>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</si>
  <si>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</si>
  <si>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</si>
  <si>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</si>
  <si>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</si>
  <si>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</si>
  <si>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</si>
  <si>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Samsung</t>
  </si>
  <si>
    <t>22-MAY-US</t>
  </si>
  <si>
    <t>Backpack</t>
  </si>
  <si>
    <t>North Face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</si>
  <si>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</si>
  <si>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</si>
  <si>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</si>
  <si>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</si>
  <si>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</si>
  <si>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</si>
  <si>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</si>
  <si>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</si>
  <si>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</si>
  <si>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</si>
  <si>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</si>
  <si>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</si>
  <si>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</si>
  <si>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</si>
  <si>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</si>
  <si>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</si>
  <si>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</si>
  <si>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</si>
  <si>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</si>
  <si>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</si>
  <si>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</si>
  <si>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</si>
  <si>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</si>
  <si>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</si>
  <si>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</si>
  <si>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</si>
  <si>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</si>
  <si>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</si>
  <si>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</si>
  <si>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</si>
  <si>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</si>
  <si>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</si>
  <si>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</si>
  <si>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</si>
  <si>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</si>
  <si>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</si>
  <si>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</si>
  <si>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</si>
  <si>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</si>
  <si>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</si>
  <si>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</si>
  <si>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</si>
  <si>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</si>
  <si>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</si>
  <si>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</si>
  <si>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</si>
  <si>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</si>
  <si>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</si>
  <si>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</si>
  <si>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</si>
  <si>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</si>
  <si>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</si>
  <si>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</si>
  <si>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</si>
  <si>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</si>
  <si>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</si>
  <si>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</si>
  <si>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</si>
  <si>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</si>
  <si>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</si>
  <si>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</si>
  <si>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</si>
  <si>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</si>
  <si>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</si>
  <si>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</si>
  <si>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</si>
  <si>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</si>
  <si>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</si>
  <si>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</si>
  <si>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</si>
  <si>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</si>
  <si>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1) Handling Missing Values:</t>
  </si>
  <si>
    <t>• Check for missing values in the 'Price' column. How would you handle products with missing price information?</t>
  </si>
  <si>
    <t>Missing Price</t>
  </si>
  <si>
    <t>Missing Category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</si>
  <si>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</si>
  <si>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</si>
  <si>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</si>
  <si>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</si>
  <si>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</si>
  <si>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</si>
  <si>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</si>
  <si>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</si>
  <si>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</si>
  <si>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Manufacturing Date</t>
  </si>
  <si>
    <t>Column1</t>
  </si>
  <si>
    <t>Country Code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</si>
  <si>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</si>
  <si>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</si>
  <si>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</si>
  <si>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</si>
  <si>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</si>
  <si>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</si>
  <si>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</si>
  <si>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</si>
  <si>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</si>
  <si>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</si>
  <si>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</si>
  <si>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</si>
  <si>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Product Brand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</si>
  <si>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</si>
  <si>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</si>
  <si>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</si>
  <si>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</si>
  <si>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</si>
  <si>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</si>
  <si>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</si>
  <si>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Sum</t>
  </si>
  <si>
    <t>Count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</si>
  <si>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</si>
  <si>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</si>
  <si>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</si>
  <si>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</si>
  <si>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</si>
  <si>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</si>
  <si>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</si>
  <si>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</si>
  <si>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</si>
  <si>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</si>
  <si>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</si>
  <si>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Additional work</t>
  </si>
  <si>
    <t>Price column</t>
  </si>
  <si>
    <t>Column2</t>
  </si>
  <si>
    <t>Data Analysis Tools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</si>
</sst>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 &quot;₹&quot;\ * #,##0.00_ ;_ &quot;₹&quot;\ * \-#,##0.00_ ;_ &quot;₹&quot;\ * &quot;-&quot;??_ ;_ @_ "/>
    <numFmt numFmtId="164" formatCode="&quot;₹&quot;\ #,##0.00"/>
    <numFmt numFmtId="165" formatCode="&quot;₹&quot;\ #,##0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1" fontId="1" fillId="0" borderId="0" xfId="0" applyNumberFormat="1" applyFont="1"/>
    <xf numFmtId="14" fontId="1" fillId="0" borderId="0" xfId="0" applyNumberFormat="1" applyFont="1"/>
    <xf numFmtId="164" fontId="1" fillId="0" borderId="0" xfId="0" applyNumberFormat="1" applyFont="1"/>
    <xf numFmtId="165" fontId="1" fillId="0" borderId="0" xfId="1" applyNumberFormat="1" applyFont="1"/>
    <xf numFmtId="165" fontId="1" fillId="0" borderId="0" xfId="0" applyNumberFormat="1" applyFont="1"/>
    <xf numFmtId="0" fontId="4" fillId="0" borderId="1" xfId="0" applyFont="1" applyBorder="1" applyAlignment="1">
      <alignment horizontal="centerContinuous"/>
    </xf>
    <xf numFmtId="0" fontId="4" fillId="0" borderId="2" xfId="0" applyFont="1" applyBorder="1" applyAlignment="1">
      <alignment horizontal="centerContinuous"/>
    </xf>
  </cellXfs>
  <cellStyles count="2">
    <cellStyle name="Currency" xfId="1" builtinId="4"/>
    <cellStyle name="Normal" xfId="0" builtinId="0"/>
  </cellStyles>
  <dxfs count="20"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diagonalUp="0" diagonalDown="0">
        <left/>
        <right/>
        <top style="medium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Continuous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9" formatCode="dd/mm/yyyy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numFmt numFmtId="165" formatCode="&quot;₹&quot;\ #,##0"/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8CA16F-A6F2-4C54-AE9D-DFCF3888E72B}" name="Table1" displayName="Table1" ref="A1:K32" totalsRowShown="0" headerRowDxfId="19" dataDxfId="18">
  <autoFilter ref="A1:K32" xr:uid="{FF8CA16F-A6F2-4C54-AE9D-DFCF3888E72B}"/>
  <tableColumns count="11">
    <tableColumn id="1" xr3:uid="{58BCB49D-288F-4D6F-B2BD-52A687247012}" name="Product ID" dataDxfId="17"/>
    <tableColumn id="2" xr3:uid="{139B9E94-0590-4BA9-9F70-1966A20850D6}" name="Product Name" dataDxfId="16"/>
    <tableColumn id="3" xr3:uid="{1E71DE49-70F6-46BD-859C-5B9BFC5C5D84}" name="Brand Name" dataDxfId="15"/>
    <tableColumn id="4" xr3:uid="{AF02F820-C341-4B78-94EF-4EB63C5705B3}" name="Price ($)" dataDxfId="14"/>
    <tableColumn id="5" xr3:uid="{FCA19E43-7857-47E1-A058-96F2A6BAF5C0}" name="Quantity" dataDxfId="13"/>
    <tableColumn id="6" xr3:uid="{A6ABDE09-EC94-47A0-A1DF-C32899A0C6AF}" name="Category" dataDxfId="12"/>
    <tableColumn id="7" xr3:uid="{CE235C59-409D-42AB-8C3C-281B0781BB51}" name="Missing Price" dataDxfId="11">
      <calculatedColumnFormula>IF(ISBLANK(D2),AVERAGE(D2:D32),D2)</calculatedColumnFormula>
    </tableColumn>
    <tableColumn id="8" xr3:uid="{37C9B7CB-956E-4116-A138-E067F2E7D2EB}" name="Missing Category" dataDxfId="10">
      <calculatedColumnFormula>IF(ISBLANK(F2),"UNKNOWN",F2)</calculatedColumnFormula>
    </tableColumn>
    <tableColumn id="10" xr3:uid="{4945EC1C-2272-4190-B014-DFF0D4776D43}" name="Manufacturing Date" dataDxfId="9"/>
    <tableColumn id="12" xr3:uid="{CBFA50DD-EBEE-4F22-925D-C67747A43520}" name="Country Code" dataDxfId="8"/>
    <tableColumn id="13" xr3:uid="{A1A8268B-7336-4CBC-9797-13CF01DFA649}" name="Product Brand" dataDxfId="7">
      <calculatedColumnFormula>CONCATENATE(C2," ",B2)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AAC16D-9451-455F-A5E4-9DED4E1825A2}" name="Table2" displayName="Table2" ref="M12:N27" totalsRowShown="0" headerRowDxfId="6" dataDxfId="4" headerRowBorderDxfId="5" tableBorderDxfId="3">
  <autoFilter ref="M12:N27" xr:uid="{E2AAC16D-9451-455F-A5E4-9DED4E1825A2}"/>
  <tableColumns count="2">
    <tableColumn id="1" xr3:uid="{BB1A4C9D-C81D-47E1-ACAB-341C5D9E9D99}" name="Column1" dataDxfId="2"/>
    <tableColumn id="2" xr3:uid="{D9CB2348-6A17-4133-9CBB-4463A88EA62E}" name="Column2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F1A19-3C7E-484B-AD52-20911FE3555A}">
  <dimension ref="A1:N70"/>
  <sheetViews>
    <sheetView tabSelected="1" workbookViewId="0">
      <selection activeCell="K46" sqref="K46"/>
    </sheetView>
  </sheetViews>
  <sheetFormatPr defaultRowHeight="14.4" x14ac:dyDescent="0.3"/>
  <cols>
    <col min="1" max="1" width="15.21875" customWidth="1"/>
    <col min="2" max="2" width="18.33203125" customWidth="1"/>
    <col min="3" max="3" width="12.77734375" customWidth="1"/>
    <col min="4" max="4" width="10.33203125" customWidth="1"/>
    <col min="5" max="5" width="11" customWidth="1"/>
    <col min="6" max="6" width="13.6640625" customWidth="1"/>
    <col min="7" max="7" width="11.109375" customWidth="1"/>
    <col min="8" max="8" width="19.44140625" customWidth="1"/>
    <col min="9" max="9" width="21" customWidth="1"/>
    <col min="10" max="10" width="11" customWidth="1"/>
    <col min="11" max="11" width="23.88671875" customWidth="1"/>
    <col min="13" max="14" width="10.5546875" customWidth="1"/>
  </cols>
  <sheetData>
    <row r="1" spans="1:14" ht="18" x14ac:dyDescent="0.35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5</v>
      </c>
      <c r="G1" s="1" t="s">
        <v>95</v>
      </c>
      <c r="H1" s="1" t="s">
        <v>96</v>
      </c>
      <c r="I1" s="1" t="s">
        <v>106</v>
      </c>
      <c r="J1" s="1" t="s">
        <v>108</v>
      </c>
      <c r="K1" s="1" t="s">
        <v>121</v>
      </c>
    </row>
    <row r="2" spans="1:14" ht="18" x14ac:dyDescent="0.35">
      <c r="A2" s="1" t="s">
        <v>6</v>
      </c>
      <c r="B2" s="1" t="s">
        <v>39</v>
      </c>
      <c r="C2" s="1" t="s">
        <v>7</v>
      </c>
      <c r="D2" s="6">
        <v>1000</v>
      </c>
      <c r="E2" s="1">
        <v>30</v>
      </c>
      <c r="F2" s="1" t="s">
        <v>8</v>
      </c>
      <c r="G2" s="1">
        <f t="shared" ref="G2" si="0">IF(ISBLANK(D2),AVERAGE(D2:D32),D2)</f>
        <v>1000</v>
      </c>
      <c r="H2" s="1" t="str">
        <f t="shared" ref="H2:H32" si="1">IF(ISBLANK(F2),"UNKNOWN",F2)</f>
        <v>Electronics</v>
      </c>
      <c r="I2" s="4">
        <v>45685</v>
      </c>
      <c r="J2" s="1" t="s">
        <v>109</v>
      </c>
      <c r="K2" s="1" t="str">
        <f t="shared" ref="K2:K32" si="2">CONCATENATE(C2," ",B2)</f>
        <v>Dell Laptop</v>
      </c>
    </row>
    <row r="3" spans="1:14" ht="18" x14ac:dyDescent="0.35">
      <c r="A3" s="1" t="s">
        <v>9</v>
      </c>
      <c r="B3" s="1" t="s">
        <v>10</v>
      </c>
      <c r="C3" s="1" t="s">
        <v>11</v>
      </c>
      <c r="D3" s="7">
        <v>80</v>
      </c>
      <c r="E3" s="1">
        <v>15</v>
      </c>
      <c r="F3" s="1" t="s">
        <v>12</v>
      </c>
      <c r="G3" s="1">
        <f>IF(ISBLANK(D3),AVERAGE(D3:D33),D3)</f>
        <v>80</v>
      </c>
      <c r="H3" s="1" t="str">
        <f t="shared" si="1"/>
        <v>Fashion</v>
      </c>
      <c r="I3" s="4">
        <v>45703</v>
      </c>
      <c r="J3" s="1" t="s">
        <v>109</v>
      </c>
      <c r="K3" s="1" t="str">
        <f t="shared" si="2"/>
        <v>Nike Sneakers</v>
      </c>
    </row>
    <row r="4" spans="1:14" ht="18" x14ac:dyDescent="0.35">
      <c r="A4" s="1" t="s">
        <v>13</v>
      </c>
      <c r="B4" s="1" t="s">
        <v>14</v>
      </c>
      <c r="C4" s="1" t="s">
        <v>15</v>
      </c>
      <c r="D4" s="7">
        <v>130</v>
      </c>
      <c r="E4" s="1">
        <v>40</v>
      </c>
      <c r="F4" s="1" t="s">
        <v>16</v>
      </c>
      <c r="G4" s="1">
        <f>IF(ISBLANK(D4),AVERAGE(D2:D34),D4)</f>
        <v>130</v>
      </c>
      <c r="H4" s="1" t="str">
        <f t="shared" si="1"/>
        <v>Kitchen</v>
      </c>
      <c r="I4" s="4">
        <v>45719</v>
      </c>
      <c r="J4" s="1" t="s">
        <v>109</v>
      </c>
      <c r="K4" s="1" t="str">
        <f t="shared" si="2"/>
        <v>Keurig Coffee Maker</v>
      </c>
    </row>
    <row r="5" spans="1:14" ht="18" x14ac:dyDescent="0.35">
      <c r="A5" s="1" t="s">
        <v>17</v>
      </c>
      <c r="B5" s="1" t="s">
        <v>73</v>
      </c>
      <c r="C5" s="1" t="s">
        <v>18</v>
      </c>
      <c r="D5" s="7">
        <v>900</v>
      </c>
      <c r="E5" s="1">
        <v>25</v>
      </c>
      <c r="F5" s="1" t="s">
        <v>8</v>
      </c>
      <c r="G5" s="1">
        <f t="shared" ref="G5:G8" si="3">IF(ISBLANK(D5),AVERAGE(D5:D35),D5)</f>
        <v>900</v>
      </c>
      <c r="H5" s="1" t="str">
        <f t="shared" si="1"/>
        <v>Electronics</v>
      </c>
      <c r="I5" s="4">
        <v>45758</v>
      </c>
      <c r="J5" s="1" t="s">
        <v>109</v>
      </c>
      <c r="K5" s="1" t="str">
        <f t="shared" si="2"/>
        <v>Samsung Smartphone</v>
      </c>
    </row>
    <row r="6" spans="1:14" ht="18" x14ac:dyDescent="0.35">
      <c r="A6" s="1" t="s">
        <v>19</v>
      </c>
      <c r="B6" s="1" t="s">
        <v>20</v>
      </c>
      <c r="C6" s="1" t="s">
        <v>21</v>
      </c>
      <c r="D6" s="7">
        <v>70</v>
      </c>
      <c r="E6" s="1">
        <v>20</v>
      </c>
      <c r="F6" s="1"/>
      <c r="G6" s="1">
        <f t="shared" si="3"/>
        <v>70</v>
      </c>
      <c r="H6" s="1" t="str">
        <f t="shared" si="1"/>
        <v>UNKNOWN</v>
      </c>
      <c r="I6" s="4">
        <v>45799</v>
      </c>
      <c r="J6" s="1" t="s">
        <v>109</v>
      </c>
      <c r="K6" s="1" t="str">
        <f t="shared" si="2"/>
        <v>North Face Backpack</v>
      </c>
    </row>
    <row r="7" spans="1:14" ht="18" x14ac:dyDescent="0.35">
      <c r="A7" s="1" t="s">
        <v>22</v>
      </c>
      <c r="B7" s="1" t="s">
        <v>23</v>
      </c>
      <c r="C7" s="1" t="s">
        <v>24</v>
      </c>
      <c r="D7" s="7"/>
      <c r="E7" s="1">
        <v>45</v>
      </c>
      <c r="F7" s="1" t="s">
        <v>8</v>
      </c>
      <c r="G7" s="3">
        <f t="shared" si="3"/>
        <v>267.82608695652175</v>
      </c>
      <c r="H7" s="1" t="str">
        <f t="shared" si="1"/>
        <v>Electronics</v>
      </c>
      <c r="I7" s="4">
        <v>45815</v>
      </c>
      <c r="J7" s="1" t="s">
        <v>110</v>
      </c>
      <c r="K7" s="1" t="str">
        <f t="shared" si="2"/>
        <v>Sony Headphones</v>
      </c>
    </row>
    <row r="8" spans="1:14" ht="18" x14ac:dyDescent="0.35">
      <c r="A8" s="1" t="s">
        <v>25</v>
      </c>
      <c r="B8" s="1" t="s">
        <v>26</v>
      </c>
      <c r="C8" s="1" t="s">
        <v>27</v>
      </c>
      <c r="D8" s="7">
        <v>30</v>
      </c>
      <c r="E8" s="1">
        <v>5</v>
      </c>
      <c r="F8" s="1" t="s">
        <v>12</v>
      </c>
      <c r="G8" s="1">
        <f t="shared" si="3"/>
        <v>30</v>
      </c>
      <c r="H8" s="1" t="str">
        <f t="shared" si="1"/>
        <v>Fashion</v>
      </c>
      <c r="I8" s="4">
        <v>45857</v>
      </c>
      <c r="J8" s="1" t="s">
        <v>110</v>
      </c>
      <c r="K8" s="1" t="str">
        <f t="shared" si="2"/>
        <v>Adidas T-shirt</v>
      </c>
      <c r="M8" s="1" t="s">
        <v>142</v>
      </c>
    </row>
    <row r="9" spans="1:14" ht="18" x14ac:dyDescent="0.35">
      <c r="A9" s="1" t="s">
        <v>28</v>
      </c>
      <c r="B9" s="1" t="s">
        <v>29</v>
      </c>
      <c r="C9" s="1" t="s">
        <v>30</v>
      </c>
      <c r="D9" s="7">
        <v>90</v>
      </c>
      <c r="E9" s="1">
        <v>35</v>
      </c>
      <c r="F9" s="1" t="s">
        <v>16</v>
      </c>
      <c r="G9" s="1">
        <f>IF(ISBLANK(D9),AVERAGE(D9:D39),D9)</f>
        <v>90</v>
      </c>
      <c r="H9" s="1" t="str">
        <f t="shared" si="1"/>
        <v>Kitchen</v>
      </c>
      <c r="I9" s="4">
        <v>45892</v>
      </c>
      <c r="J9" s="1" t="s">
        <v>110</v>
      </c>
      <c r="K9" s="1" t="str">
        <f t="shared" si="2"/>
        <v>Ninja Blender</v>
      </c>
      <c r="M9" s="1" t="s">
        <v>145</v>
      </c>
    </row>
    <row r="10" spans="1:14" ht="18" x14ac:dyDescent="0.35">
      <c r="A10" s="1" t="s">
        <v>31</v>
      </c>
      <c r="B10" s="1" t="s">
        <v>32</v>
      </c>
      <c r="C10" s="1" t="s">
        <v>33</v>
      </c>
      <c r="D10" s="7">
        <v>500</v>
      </c>
      <c r="E10" s="1">
        <v>50</v>
      </c>
      <c r="F10" s="1" t="s">
        <v>8</v>
      </c>
      <c r="G10" s="1">
        <f>IF(ISBLANK(D10),AVERAGE(D10:D39),D10)</f>
        <v>500</v>
      </c>
      <c r="H10" s="1" t="str">
        <f t="shared" si="1"/>
        <v>Electronics</v>
      </c>
      <c r="I10" s="4">
        <v>45905</v>
      </c>
      <c r="J10" s="1" t="s">
        <v>110</v>
      </c>
      <c r="K10" s="1" t="str">
        <f t="shared" si="2"/>
        <v>Apple Tablet</v>
      </c>
      <c r="M10" s="1" t="s">
        <v>143</v>
      </c>
    </row>
    <row r="11" spans="1:14" ht="18" x14ac:dyDescent="0.35">
      <c r="A11" s="1" t="s">
        <v>34</v>
      </c>
      <c r="B11" s="1" t="s">
        <v>35</v>
      </c>
      <c r="C11" s="1" t="s">
        <v>36</v>
      </c>
      <c r="D11" s="7">
        <v>130</v>
      </c>
      <c r="E11" s="1">
        <v>10</v>
      </c>
      <c r="F11" s="1" t="s">
        <v>37</v>
      </c>
      <c r="G11" s="1">
        <f>IF(ISBLANK(D11),AVERAGE(D11:D41),D11)</f>
        <v>130</v>
      </c>
      <c r="H11" s="1" t="str">
        <f t="shared" si="1"/>
        <v>Outdoor</v>
      </c>
      <c r="I11" s="4">
        <v>45944</v>
      </c>
      <c r="J11" s="1" t="s">
        <v>110</v>
      </c>
      <c r="K11" s="1" t="str">
        <f t="shared" si="2"/>
        <v>Timberland Hiking Boots</v>
      </c>
    </row>
    <row r="12" spans="1:14" ht="18.600000000000001" thickBot="1" x14ac:dyDescent="0.4">
      <c r="A12" s="1" t="s">
        <v>38</v>
      </c>
      <c r="B12" s="1" t="s">
        <v>39</v>
      </c>
      <c r="C12" s="1" t="s">
        <v>40</v>
      </c>
      <c r="D12" s="7">
        <v>950</v>
      </c>
      <c r="E12" s="1">
        <v>25</v>
      </c>
      <c r="F12" s="1" t="s">
        <v>8</v>
      </c>
      <c r="G12" s="1">
        <f>IF(ISBLANK(D12),AVERAGE(D12:D41),D12)</f>
        <v>950</v>
      </c>
      <c r="H12" s="1" t="str">
        <f t="shared" si="1"/>
        <v>Electronics</v>
      </c>
      <c r="I12" s="4">
        <v>45825</v>
      </c>
      <c r="J12" s="1" t="s">
        <v>111</v>
      </c>
      <c r="K12" s="1" t="str">
        <f t="shared" si="2"/>
        <v>HP Laptop</v>
      </c>
      <c r="M12" s="9" t="s">
        <v>107</v>
      </c>
      <c r="N12" s="9" t="s">
        <v>144</v>
      </c>
    </row>
    <row r="13" spans="1:14" ht="18" x14ac:dyDescent="0.35">
      <c r="A13" s="1" t="s">
        <v>41</v>
      </c>
      <c r="B13" s="1" t="s">
        <v>10</v>
      </c>
      <c r="C13" s="1" t="s">
        <v>27</v>
      </c>
      <c r="D13" s="7">
        <v>90</v>
      </c>
      <c r="E13" s="1">
        <v>40</v>
      </c>
      <c r="F13" s="1"/>
      <c r="G13" s="1">
        <f>IF(ISBLANK(D13),AVERAGE(D13:D42),D13)</f>
        <v>90</v>
      </c>
      <c r="H13" s="1" t="str">
        <f t="shared" si="1"/>
        <v>UNKNOWN</v>
      </c>
      <c r="I13" s="4">
        <v>45986</v>
      </c>
      <c r="J13" s="1" t="s">
        <v>112</v>
      </c>
      <c r="K13" s="1" t="str">
        <f t="shared" si="2"/>
        <v>Adidas Sneakers</v>
      </c>
      <c r="M13" s="8">
        <v>1000</v>
      </c>
      <c r="N13" s="8"/>
    </row>
    <row r="14" spans="1:14" ht="18" x14ac:dyDescent="0.35">
      <c r="A14" s="1" t="s">
        <v>42</v>
      </c>
      <c r="B14" s="1" t="s">
        <v>14</v>
      </c>
      <c r="C14" s="1" t="s">
        <v>43</v>
      </c>
      <c r="D14" s="7">
        <v>120</v>
      </c>
      <c r="E14" s="1">
        <v>35</v>
      </c>
      <c r="F14" s="1"/>
      <c r="G14" s="1">
        <f>IF(ISBLANK(D14),AVERAGE(D14:D43),D14)</f>
        <v>120</v>
      </c>
      <c r="H14" s="1" t="str">
        <f t="shared" si="1"/>
        <v>UNKNOWN</v>
      </c>
      <c r="I14" s="4">
        <v>45999</v>
      </c>
      <c r="J14" s="1" t="s">
        <v>113</v>
      </c>
      <c r="K14" s="1" t="str">
        <f t="shared" si="2"/>
        <v>Nespresso Coffee Maker</v>
      </c>
    </row>
    <row r="15" spans="1:14" ht="18" x14ac:dyDescent="0.35">
      <c r="A15" s="1" t="s">
        <v>44</v>
      </c>
      <c r="B15" s="1" t="s">
        <v>45</v>
      </c>
      <c r="C15" s="1" t="s">
        <v>46</v>
      </c>
      <c r="D15" s="7">
        <v>150</v>
      </c>
      <c r="E15" s="1">
        <v>15</v>
      </c>
      <c r="F15" s="1" t="s">
        <v>8</v>
      </c>
      <c r="G15" s="1">
        <f>IF(ISBLANK(D15),AVERAGE(D15:D44),D15)</f>
        <v>150</v>
      </c>
      <c r="H15" s="1" t="str">
        <f t="shared" si="1"/>
        <v>Electronics</v>
      </c>
      <c r="I15" s="4">
        <v>45706</v>
      </c>
      <c r="J15" s="1" t="s">
        <v>114</v>
      </c>
      <c r="K15" s="1" t="str">
        <f t="shared" si="2"/>
        <v>Fitbit Smartwatch</v>
      </c>
      <c r="M15" t="s">
        <v>131</v>
      </c>
      <c r="N15">
        <v>266.29420289855074</v>
      </c>
    </row>
    <row r="16" spans="1:14" ht="18" x14ac:dyDescent="0.35">
      <c r="A16" s="1" t="s">
        <v>47</v>
      </c>
      <c r="B16" s="1" t="s">
        <v>23</v>
      </c>
      <c r="C16" s="1" t="s">
        <v>48</v>
      </c>
      <c r="D16" s="7">
        <v>250</v>
      </c>
      <c r="E16" s="1">
        <v>20</v>
      </c>
      <c r="F16" s="1" t="s">
        <v>8</v>
      </c>
      <c r="G16" s="1">
        <f>IF(ISBLANK(D16),AVERAGE(D16:D45),D16)</f>
        <v>250</v>
      </c>
      <c r="H16" s="1" t="str">
        <f t="shared" si="1"/>
        <v>Electronics</v>
      </c>
      <c r="I16" s="4">
        <v>45763</v>
      </c>
      <c r="J16" s="1" t="s">
        <v>115</v>
      </c>
      <c r="K16" s="1" t="str">
        <f t="shared" si="2"/>
        <v>Bose Headphones</v>
      </c>
      <c r="M16" t="s">
        <v>132</v>
      </c>
      <c r="N16">
        <v>53.743256598463446</v>
      </c>
    </row>
    <row r="17" spans="1:14" ht="18" x14ac:dyDescent="0.35">
      <c r="A17" s="1" t="s">
        <v>49</v>
      </c>
      <c r="B17" s="1" t="s">
        <v>50</v>
      </c>
      <c r="C17" s="1" t="s">
        <v>51</v>
      </c>
      <c r="D17" s="7">
        <v>50</v>
      </c>
      <c r="E17" s="1">
        <v>35</v>
      </c>
      <c r="F17" s="1" t="s">
        <v>52</v>
      </c>
      <c r="G17" s="1">
        <f>IF(ISBLANK(D17),AVERAGE(D17:D45),D17)</f>
        <v>50</v>
      </c>
      <c r="H17" s="1" t="str">
        <f t="shared" si="1"/>
        <v>Accessories</v>
      </c>
      <c r="I17" s="4">
        <v>45890</v>
      </c>
      <c r="J17" s="1" t="s">
        <v>114</v>
      </c>
      <c r="K17" s="1" t="str">
        <f t="shared" si="2"/>
        <v>Samsonite Laptop Bag</v>
      </c>
      <c r="M17" t="s">
        <v>133</v>
      </c>
      <c r="N17">
        <v>130</v>
      </c>
    </row>
    <row r="18" spans="1:14" ht="18" x14ac:dyDescent="0.35">
      <c r="A18" s="1" t="s">
        <v>53</v>
      </c>
      <c r="B18" s="1" t="s">
        <v>45</v>
      </c>
      <c r="C18" s="1" t="s">
        <v>54</v>
      </c>
      <c r="D18" s="7">
        <v>160</v>
      </c>
      <c r="E18" s="1">
        <v>15</v>
      </c>
      <c r="F18" s="1" t="s">
        <v>8</v>
      </c>
      <c r="G18" s="1">
        <f>IF(ISBLANK(D18),AVERAGE(D18:D46),D18)</f>
        <v>160</v>
      </c>
      <c r="H18" s="1" t="str">
        <f t="shared" si="1"/>
        <v>Electronics</v>
      </c>
      <c r="I18" s="4">
        <v>45889</v>
      </c>
      <c r="J18" s="1" t="s">
        <v>116</v>
      </c>
      <c r="K18" s="1" t="str">
        <f t="shared" si="2"/>
        <v>Huawei Smartwatch</v>
      </c>
      <c r="M18" t="s">
        <v>134</v>
      </c>
      <c r="N18">
        <v>130</v>
      </c>
    </row>
    <row r="19" spans="1:14" ht="18" x14ac:dyDescent="0.35">
      <c r="A19" s="1" t="s">
        <v>55</v>
      </c>
      <c r="B19" s="1" t="s">
        <v>39</v>
      </c>
      <c r="C19" s="1" t="s">
        <v>56</v>
      </c>
      <c r="D19" s="7">
        <v>980</v>
      </c>
      <c r="E19" s="1">
        <v>10</v>
      </c>
      <c r="F19" s="1" t="s">
        <v>8</v>
      </c>
      <c r="G19" s="1">
        <f>IF(ISBLANK(D19),AVERAGE(D19:D47),D19)</f>
        <v>980</v>
      </c>
      <c r="H19" s="1" t="str">
        <f t="shared" si="1"/>
        <v>Electronics</v>
      </c>
      <c r="I19" s="4">
        <v>45684</v>
      </c>
      <c r="J19" s="1" t="s">
        <v>117</v>
      </c>
      <c r="K19" s="1" t="str">
        <f t="shared" si="2"/>
        <v>Asus Laptop</v>
      </c>
      <c r="M19" t="s">
        <v>135</v>
      </c>
      <c r="N19">
        <v>294.36393952766792</v>
      </c>
    </row>
    <row r="20" spans="1:14" ht="18" x14ac:dyDescent="0.35">
      <c r="A20" s="1" t="s">
        <v>57</v>
      </c>
      <c r="B20" s="1" t="s">
        <v>58</v>
      </c>
      <c r="C20" s="1" t="s">
        <v>59</v>
      </c>
      <c r="D20" s="7">
        <v>150</v>
      </c>
      <c r="E20" s="1">
        <v>15</v>
      </c>
      <c r="F20" s="1" t="s">
        <v>12</v>
      </c>
      <c r="G20" s="1">
        <f>IF(ISBLANK(D20),AVERAGE(D20:D47),D20)</f>
        <v>150</v>
      </c>
      <c r="H20" s="1" t="str">
        <f t="shared" si="1"/>
        <v>Fashion</v>
      </c>
      <c r="I20" s="4">
        <v>45717</v>
      </c>
      <c r="J20" s="1" t="s">
        <v>110</v>
      </c>
      <c r="K20" s="1" t="str">
        <f t="shared" si="2"/>
        <v>Oakley Sunglasses</v>
      </c>
      <c r="M20" t="s">
        <v>136</v>
      </c>
      <c r="N20">
        <v>86650.128894248541</v>
      </c>
    </row>
    <row r="21" spans="1:14" ht="18" x14ac:dyDescent="0.35">
      <c r="A21" s="1" t="s">
        <v>60</v>
      </c>
      <c r="B21" s="1" t="s">
        <v>61</v>
      </c>
      <c r="C21" s="1" t="s">
        <v>62</v>
      </c>
      <c r="D21" s="7"/>
      <c r="E21" s="1">
        <v>10</v>
      </c>
      <c r="F21" s="1" t="s">
        <v>37</v>
      </c>
      <c r="G21" s="1">
        <f>IF(ISBLANK(D21),AVERAGE(D21:D48),D21)</f>
        <v>251</v>
      </c>
      <c r="H21" s="1" t="str">
        <f t="shared" si="1"/>
        <v>Outdoor</v>
      </c>
      <c r="I21" s="4">
        <v>45883</v>
      </c>
      <c r="J21" s="1" t="s">
        <v>109</v>
      </c>
      <c r="K21" s="1" t="str">
        <f t="shared" si="2"/>
        <v>Coleman Camping Tent</v>
      </c>
      <c r="M21" t="s">
        <v>137</v>
      </c>
      <c r="N21">
        <v>1.0700152092544211</v>
      </c>
    </row>
    <row r="22" spans="1:14" ht="18" x14ac:dyDescent="0.35">
      <c r="A22" s="1" t="s">
        <v>63</v>
      </c>
      <c r="B22" s="1" t="s">
        <v>64</v>
      </c>
      <c r="C22" s="1" t="s">
        <v>65</v>
      </c>
      <c r="D22" s="7">
        <v>700</v>
      </c>
      <c r="E22" s="1">
        <v>50</v>
      </c>
      <c r="F22" s="1" t="s">
        <v>8</v>
      </c>
      <c r="G22" s="1">
        <f>IF(ISBLANK(D22),AVERAGE(D22:D49),D22)</f>
        <v>700</v>
      </c>
      <c r="H22" s="1" t="str">
        <f t="shared" si="1"/>
        <v>Electronics</v>
      </c>
      <c r="I22" s="4">
        <v>45791</v>
      </c>
      <c r="J22" s="1" t="s">
        <v>118</v>
      </c>
      <c r="K22" s="1" t="str">
        <f t="shared" si="2"/>
        <v>Nikon Camera</v>
      </c>
      <c r="M22" t="s">
        <v>138</v>
      </c>
      <c r="N22">
        <v>1.5605189344164399</v>
      </c>
    </row>
    <row r="23" spans="1:14" ht="18" x14ac:dyDescent="0.35">
      <c r="A23" s="1" t="s">
        <v>66</v>
      </c>
      <c r="B23" s="1" t="s">
        <v>67</v>
      </c>
      <c r="C23" s="1" t="s">
        <v>68</v>
      </c>
      <c r="D23" s="7">
        <v>80</v>
      </c>
      <c r="E23" s="1">
        <v>20</v>
      </c>
      <c r="F23" s="1" t="s">
        <v>16</v>
      </c>
      <c r="G23" s="1">
        <f>IF(ISBLANK(D23),AVERAGE(D23:D50),D23)</f>
        <v>80</v>
      </c>
      <c r="H23" s="1" t="str">
        <f t="shared" si="1"/>
        <v>Kitchen</v>
      </c>
      <c r="I23" s="4">
        <v>45666</v>
      </c>
      <c r="J23" s="1" t="s">
        <v>114</v>
      </c>
      <c r="K23" s="1" t="str">
        <f t="shared" si="2"/>
        <v>Panasonic Microwave</v>
      </c>
      <c r="M23" t="s">
        <v>139</v>
      </c>
      <c r="N23">
        <v>950</v>
      </c>
    </row>
    <row r="24" spans="1:14" ht="18" x14ac:dyDescent="0.35">
      <c r="A24" s="1" t="s">
        <v>69</v>
      </c>
      <c r="B24" s="1" t="s">
        <v>70</v>
      </c>
      <c r="C24" s="1" t="s">
        <v>71</v>
      </c>
      <c r="D24" s="7">
        <v>150</v>
      </c>
      <c r="E24" s="1">
        <v>30</v>
      </c>
      <c r="F24" s="1"/>
      <c r="G24" s="1">
        <f>IF(ISBLANK(D24),AVERAGE(D24:D51),D24)</f>
        <v>150</v>
      </c>
      <c r="H24" s="1" t="str">
        <f t="shared" si="1"/>
        <v>UNKNOWN</v>
      </c>
      <c r="I24" s="4">
        <v>45857</v>
      </c>
      <c r="J24" s="1" t="s">
        <v>119</v>
      </c>
      <c r="K24" s="1" t="str">
        <f t="shared" si="2"/>
        <v>Xiaomi Fitness Tracker</v>
      </c>
      <c r="M24" t="s">
        <v>140</v>
      </c>
      <c r="N24">
        <v>30</v>
      </c>
    </row>
    <row r="25" spans="1:14" ht="18" x14ac:dyDescent="0.35">
      <c r="A25" s="1" t="s">
        <v>72</v>
      </c>
      <c r="B25" s="1" t="s">
        <v>73</v>
      </c>
      <c r="C25" s="1" t="s">
        <v>74</v>
      </c>
      <c r="D25" s="7">
        <v>800</v>
      </c>
      <c r="E25" s="1">
        <v>45</v>
      </c>
      <c r="F25" s="1" t="s">
        <v>8</v>
      </c>
      <c r="G25" s="1">
        <f>IF(ISBLANK(D25),AVERAGE(D25:D52),D25)</f>
        <v>800</v>
      </c>
      <c r="H25" s="1" t="str">
        <f t="shared" si="1"/>
        <v>Electronics</v>
      </c>
      <c r="I25" s="4">
        <v>45929</v>
      </c>
      <c r="J25" s="1" t="s">
        <v>114</v>
      </c>
      <c r="K25" s="1" t="str">
        <f t="shared" si="2"/>
        <v>Google Smartphone</v>
      </c>
      <c r="M25" t="s">
        <v>141</v>
      </c>
      <c r="N25">
        <v>980</v>
      </c>
    </row>
    <row r="26" spans="1:14" ht="18" x14ac:dyDescent="0.35">
      <c r="A26" s="1" t="s">
        <v>75</v>
      </c>
      <c r="B26" s="1" t="s">
        <v>58</v>
      </c>
      <c r="C26" s="1" t="s">
        <v>76</v>
      </c>
      <c r="D26" s="7"/>
      <c r="E26" s="1">
        <v>25</v>
      </c>
      <c r="F26" s="1" t="s">
        <v>12</v>
      </c>
      <c r="G26" s="1">
        <f>IF(ISBLANK(D26),AVERAGE(D26:D53),D26)</f>
        <v>130</v>
      </c>
      <c r="H26" s="1" t="str">
        <f t="shared" si="1"/>
        <v>Fashion</v>
      </c>
      <c r="I26" s="4">
        <v>45811</v>
      </c>
      <c r="J26" s="1" t="s">
        <v>114</v>
      </c>
      <c r="K26" s="1" t="str">
        <f t="shared" si="2"/>
        <v>Ray-Ban Sunglasses</v>
      </c>
      <c r="M26" t="s">
        <v>129</v>
      </c>
      <c r="N26">
        <v>7988.826086956522</v>
      </c>
    </row>
    <row r="27" spans="1:14" ht="18" x14ac:dyDescent="0.35">
      <c r="A27" s="1" t="s">
        <v>77</v>
      </c>
      <c r="B27" s="1" t="s">
        <v>29</v>
      </c>
      <c r="C27" s="1" t="s">
        <v>78</v>
      </c>
      <c r="D27" s="7">
        <v>400</v>
      </c>
      <c r="E27" s="1">
        <v>40</v>
      </c>
      <c r="F27" s="1" t="s">
        <v>16</v>
      </c>
      <c r="G27" s="1">
        <f>IF(ISBLANK(D27),AVERAGE(D27:D54),D27)</f>
        <v>400</v>
      </c>
      <c r="H27" s="1" t="str">
        <f t="shared" si="1"/>
        <v>Kitchen</v>
      </c>
      <c r="I27" s="4">
        <v>45849</v>
      </c>
      <c r="J27" s="1" t="s">
        <v>114</v>
      </c>
      <c r="K27" s="1" t="str">
        <f t="shared" si="2"/>
        <v>Vitamix Blender</v>
      </c>
      <c r="M27" t="s">
        <v>130</v>
      </c>
      <c r="N27">
        <v>30</v>
      </c>
    </row>
    <row r="28" spans="1:14" ht="18" x14ac:dyDescent="0.35">
      <c r="A28" s="1" t="s">
        <v>79</v>
      </c>
      <c r="B28" s="1" t="s">
        <v>80</v>
      </c>
      <c r="C28" s="1" t="s">
        <v>81</v>
      </c>
      <c r="D28" s="7">
        <v>60</v>
      </c>
      <c r="E28" s="1">
        <v>30</v>
      </c>
      <c r="F28" s="1" t="s">
        <v>12</v>
      </c>
      <c r="G28" s="1">
        <f>IF(ISBLANK(D28),AVERAGE(D28:D55),D28)</f>
        <v>60</v>
      </c>
      <c r="H28" s="1" t="str">
        <f t="shared" si="1"/>
        <v>Fashion</v>
      </c>
      <c r="I28" s="4">
        <v>45723</v>
      </c>
      <c r="J28" s="1" t="s">
        <v>114</v>
      </c>
      <c r="K28" s="1" t="str">
        <f t="shared" si="2"/>
        <v>Zara Dress</v>
      </c>
    </row>
    <row r="29" spans="1:14" ht="18" x14ac:dyDescent="0.35">
      <c r="A29" s="1" t="s">
        <v>82</v>
      </c>
      <c r="B29" s="1" t="s">
        <v>83</v>
      </c>
      <c r="C29" s="1" t="s">
        <v>84</v>
      </c>
      <c r="D29" s="7">
        <v>40</v>
      </c>
      <c r="E29" s="1">
        <v>10</v>
      </c>
      <c r="F29" s="1" t="s">
        <v>16</v>
      </c>
      <c r="G29" s="1">
        <f>IF(ISBLANK(D29),AVERAGE(D29:D56),D29)</f>
        <v>40</v>
      </c>
      <c r="H29" s="1" t="str">
        <f t="shared" si="1"/>
        <v>Kitchen</v>
      </c>
      <c r="I29" s="4">
        <v>45760</v>
      </c>
      <c r="J29" s="1" t="s">
        <v>114</v>
      </c>
      <c r="K29" s="1" t="str">
        <f t="shared" si="2"/>
        <v>Hamilton Toaster</v>
      </c>
    </row>
    <row r="30" spans="1:14" ht="18" x14ac:dyDescent="0.35">
      <c r="A30" s="1" t="s">
        <v>85</v>
      </c>
      <c r="B30" s="1" t="s">
        <v>70</v>
      </c>
      <c r="C30" s="1" t="s">
        <v>86</v>
      </c>
      <c r="D30" s="7">
        <v>130</v>
      </c>
      <c r="E30" s="1">
        <v>5</v>
      </c>
      <c r="F30" s="1" t="s">
        <v>8</v>
      </c>
      <c r="G30" s="1">
        <f>IF(ISBLANK(D30),AVERAGE(D30:D57),D30)</f>
        <v>130</v>
      </c>
      <c r="H30" s="1" t="str">
        <f t="shared" si="1"/>
        <v>Electronics</v>
      </c>
      <c r="I30" s="4">
        <v>45801</v>
      </c>
      <c r="J30" s="1" t="s">
        <v>114</v>
      </c>
      <c r="K30" s="1" t="str">
        <f t="shared" si="2"/>
        <v>Garmin Fitness Tracker</v>
      </c>
    </row>
    <row r="31" spans="1:14" ht="18" x14ac:dyDescent="0.35">
      <c r="A31" s="1" t="s">
        <v>87</v>
      </c>
      <c r="B31" s="1" t="s">
        <v>88</v>
      </c>
      <c r="C31" s="1" t="s">
        <v>89</v>
      </c>
      <c r="D31" s="7">
        <v>50</v>
      </c>
      <c r="E31" s="1">
        <v>50</v>
      </c>
      <c r="F31" s="1" t="s">
        <v>12</v>
      </c>
      <c r="G31" s="1">
        <f>IF(ISBLANK(D31),AVERAGE(D31:D58),D31)</f>
        <v>50</v>
      </c>
      <c r="H31" s="1" t="str">
        <f t="shared" si="1"/>
        <v>Fashion</v>
      </c>
      <c r="I31" s="4">
        <v>45993</v>
      </c>
      <c r="J31" s="1" t="s">
        <v>114</v>
      </c>
      <c r="K31" s="1" t="str">
        <f t="shared" si="2"/>
        <v>Levi's Jeans</v>
      </c>
    </row>
    <row r="32" spans="1:14" ht="18" x14ac:dyDescent="0.35">
      <c r="A32" s="1" t="s">
        <v>90</v>
      </c>
      <c r="B32" s="1" t="s">
        <v>91</v>
      </c>
      <c r="C32" s="1" t="s">
        <v>92</v>
      </c>
      <c r="D32" s="7">
        <v>100</v>
      </c>
      <c r="E32" s="1">
        <v>20</v>
      </c>
      <c r="F32" s="1" t="s">
        <v>52</v>
      </c>
      <c r="G32" s="1">
        <f>IF(ISBLANK(D32),AVERAGE(D32:D59),D32)</f>
        <v>100</v>
      </c>
      <c r="H32" s="1" t="str">
        <f t="shared" si="1"/>
        <v>Accessories</v>
      </c>
      <c r="I32" s="4">
        <v>45847</v>
      </c>
      <c r="J32" s="1" t="s">
        <v>120</v>
      </c>
      <c r="K32" s="1" t="str">
        <f t="shared" si="2"/>
        <v>Casio Watch</v>
      </c>
    </row>
    <row r="38" spans="1:10" ht="21" x14ac:dyDescent="0.4">
      <c r="A38" s="2" t="s">
        <v>93</v>
      </c>
      <c r="B38" s="2"/>
      <c r="C38" s="2"/>
      <c r="D38" s="2"/>
      <c r="E38" s="2"/>
      <c r="F38" s="2"/>
      <c r="G38" s="2"/>
      <c r="H38" s="2"/>
      <c r="I38" s="2"/>
      <c r="J38" s="2"/>
    </row>
    <row r="39" spans="1:10" ht="21" x14ac:dyDescent="0.4">
      <c r="A39" s="2"/>
      <c r="B39" s="2" t="s">
        <v>94</v>
      </c>
      <c r="C39" s="2"/>
      <c r="D39" s="2"/>
      <c r="E39" s="2"/>
      <c r="F39" s="2"/>
      <c r="G39" s="2"/>
      <c r="H39" s="2"/>
      <c r="I39" s="2"/>
      <c r="J39" s="2"/>
    </row>
    <row r="40" spans="1:10" ht="21" x14ac:dyDescent="0.4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ht="21" x14ac:dyDescent="0.4">
      <c r="B41" s="2" t="s">
        <v>97</v>
      </c>
      <c r="C41" s="2"/>
      <c r="D41" s="2"/>
      <c r="E41" s="2"/>
      <c r="F41" s="2"/>
      <c r="G41" s="2"/>
      <c r="H41" s="2"/>
      <c r="I41" s="2"/>
      <c r="J41" s="2"/>
    </row>
    <row r="44" spans="1:10" ht="21" x14ac:dyDescent="0.4">
      <c r="A44" s="2" t="s">
        <v>98</v>
      </c>
      <c r="B44" s="2"/>
      <c r="C44" s="2"/>
      <c r="D44" s="2"/>
      <c r="E44" s="2"/>
      <c r="F44" s="2"/>
      <c r="G44" s="2"/>
    </row>
    <row r="45" spans="1:10" ht="21" x14ac:dyDescent="0.4">
      <c r="A45" s="2"/>
      <c r="B45" s="2" t="s">
        <v>99</v>
      </c>
      <c r="C45" s="2"/>
      <c r="D45" s="2"/>
      <c r="E45" s="2"/>
      <c r="F45" s="2"/>
      <c r="G45" s="2"/>
    </row>
    <row r="47" spans="1:10" ht="21" x14ac:dyDescent="0.4">
      <c r="B47" s="2" t="s">
        <v>100</v>
      </c>
      <c r="C47" s="2"/>
      <c r="D47" s="2"/>
      <c r="E47" s="2"/>
    </row>
    <row r="49" spans="1:12" ht="21" x14ac:dyDescent="0.4">
      <c r="B49" s="2" t="s">
        <v>101</v>
      </c>
      <c r="C49" s="2"/>
      <c r="D49" s="2"/>
      <c r="E49" s="2"/>
      <c r="F49" s="2"/>
      <c r="G49" s="2"/>
      <c r="H49" s="2"/>
      <c r="I49" s="2"/>
      <c r="J49" s="2"/>
      <c r="K49" s="2"/>
      <c r="L49" s="2"/>
    </row>
    <row r="51" spans="1:12" ht="21" x14ac:dyDescent="0.4">
      <c r="A51" s="2" t="s">
        <v>102</v>
      </c>
      <c r="B51" s="2"/>
      <c r="C51" s="2"/>
      <c r="D51" s="2"/>
      <c r="E51" s="2"/>
      <c r="F51" s="2"/>
      <c r="G51" s="2"/>
      <c r="H51" s="2"/>
      <c r="I51" s="2"/>
    </row>
    <row r="52" spans="1:12" ht="21" x14ac:dyDescent="0.4">
      <c r="A52" s="2"/>
      <c r="B52" s="2" t="s">
        <v>103</v>
      </c>
      <c r="C52" s="2"/>
      <c r="D52" s="2"/>
      <c r="E52" s="2"/>
      <c r="F52" s="2"/>
      <c r="G52" s="2"/>
      <c r="H52" s="2"/>
      <c r="I52" s="2"/>
    </row>
    <row r="54" spans="1:12" ht="21" x14ac:dyDescent="0.4">
      <c r="A54" s="2" t="s">
        <v>104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ht="21" x14ac:dyDescent="0.4">
      <c r="A55" s="2"/>
      <c r="B55" s="2" t="s">
        <v>105</v>
      </c>
      <c r="C55" s="2"/>
      <c r="D55" s="2"/>
      <c r="E55" s="2"/>
      <c r="F55" s="2"/>
      <c r="G55" s="2"/>
      <c r="H55" s="2"/>
      <c r="I55" s="2"/>
      <c r="J55" s="2"/>
      <c r="K55" s="2"/>
      <c r="L55" s="2"/>
    </row>
    <row r="57" spans="1:12" ht="21" x14ac:dyDescent="0.4">
      <c r="B57" s="2" t="s">
        <v>122</v>
      </c>
    </row>
    <row r="60" spans="1:12" ht="21" x14ac:dyDescent="0.4">
      <c r="A60" s="2" t="s">
        <v>123</v>
      </c>
      <c r="B60" s="2"/>
      <c r="C60" s="2"/>
      <c r="D60" s="2"/>
      <c r="E60" s="2"/>
      <c r="F60" s="2"/>
    </row>
    <row r="61" spans="1:12" ht="21" x14ac:dyDescent="0.4">
      <c r="A61" s="2"/>
      <c r="B61" s="2" t="s">
        <v>124</v>
      </c>
      <c r="C61" s="2"/>
      <c r="D61" s="2"/>
      <c r="E61" s="2"/>
      <c r="F61" s="2"/>
    </row>
    <row r="63" spans="1:12" ht="21" x14ac:dyDescent="0.4">
      <c r="B63" s="2" t="s">
        <v>125</v>
      </c>
      <c r="C63" s="2"/>
      <c r="D63" s="2"/>
      <c r="E63" s="2"/>
      <c r="F63" s="2"/>
      <c r="G63" s="2"/>
      <c r="H63" s="2"/>
    </row>
    <row r="66" spans="1:12" ht="21" x14ac:dyDescent="0.4">
      <c r="A66" s="2" t="s">
        <v>126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 ht="21" x14ac:dyDescent="0.4">
      <c r="A67" s="2"/>
      <c r="B67" s="2" t="s">
        <v>127</v>
      </c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ht="21" x14ac:dyDescent="0.4">
      <c r="A68" s="2"/>
      <c r="B68" s="2" t="s">
        <v>128</v>
      </c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ht="21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ht="21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</sheetData>
  <conditionalFormatting sqref="D2:D32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{27215EC9-8988-4945-B1EA-D1949E499224}</x14:id>
        </ext>
      </extLst>
    </cfRule>
  </conditionalFormatting>
  <conditionalFormatting sqref="F2:F32">
    <cfRule type="containsText" dxfId="0" priority="1" operator="containsText" text="Electronics">
      <formula>NOT(ISERROR(SEARCH("Electronics",F2)))</formula>
    </cfRule>
  </conditionalFormatting>
  <pageMargins left="0.7" right="0.7" top="0.75" bottom="0.75" header="0.3" footer="0.3"/>
  <tableParts count="2">
    <tablePart r:id="rId1"/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7215EC9-8988-4945-B1EA-D1949E4992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D2:D32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6340D45-08F7-45AB-92CF-D9E66F34C7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shaalu2408@gmail.com</dc:creator>
  <cp:lastModifiedBy>shaalu2408@gmail.com</cp:lastModifiedBy>
  <dcterms:created xsi:type="dcterms:W3CDTF">2025-07-09T15:21:41Z</dcterms:created>
  <dcterms:modified xsi:type="dcterms:W3CDTF">2025-07-11T15:26:01Z</dcterms:modified>
</cp:coreProperties>
</file>